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xyo\Desktop\Projets [] École\HELMo_DevWeb\EVAL_V3\Grille_Eval\"/>
    </mc:Choice>
  </mc:AlternateContent>
  <xr:revisionPtr revIDLastSave="0" documentId="13_ncr:1_{A91C7A26-4B12-4F40-AA09-B02C05F3C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ille_EVAL_V3" sheetId="1" r:id="rId1"/>
  </sheets>
  <definedNames>
    <definedName name="_xleta.AND" hidden="1">#NAME?</definedName>
    <definedName name="_xleta.BASE" hidden="1">#NAME?</definedName>
    <definedName name="_xleta.CHAR" hidden="1">#NAME?</definedName>
    <definedName name="_xleta.FILTER" hidden="1">#NAME?</definedName>
    <definedName name="_xleta.INDIRECT" hidden="1">#NAME?</definedName>
    <definedName name="_xleta.LOOKUP" hidden="1">#NAME?</definedName>
    <definedName name="_xleta.N" hidden="1">#NAME?</definedName>
    <definedName name="_xleta.NOT" hidden="1">#NAME?</definedName>
    <definedName name="_xleta.SHEETS" hidden="1">#NAME?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H89" i="1"/>
  <c r="G101" i="1" s="1"/>
  <c r="E89" i="1"/>
  <c r="D101" i="1" s="1"/>
  <c r="H96" i="1"/>
  <c r="G102" i="1" s="1"/>
  <c r="E96" i="1"/>
  <c r="D102" i="1" s="1"/>
  <c r="H80" i="1"/>
  <c r="H81" i="1"/>
  <c r="H79" i="1"/>
  <c r="H82" i="1" s="1"/>
  <c r="G100" i="1" s="1"/>
  <c r="E82" i="1"/>
  <c r="D100" i="1" s="1"/>
  <c r="G20" i="1"/>
  <c r="D20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25" i="1"/>
  <c r="E74" i="1" l="1"/>
  <c r="D99" i="1" s="1"/>
  <c r="D103" i="1" s="1"/>
  <c r="H74" i="1"/>
  <c r="G99" i="1" s="1"/>
  <c r="G103" i="1" s="1"/>
</calcChain>
</file>

<file path=xl/sharedStrings.xml><?xml version="1.0" encoding="utf-8"?>
<sst xmlns="http://schemas.openxmlformats.org/spreadsheetml/2006/main" count="157" uniqueCount="137">
  <si>
    <t>Grille d'Évaluation : EVAL_V3 - PHP &amp; Base de données</t>
  </si>
  <si>
    <t>Évaluation PROF</t>
  </si>
  <si>
    <t>Projet:</t>
  </si>
  <si>
    <t>Plateforme d'Événement (MVP)</t>
  </si>
  <si>
    <t>FEED BACK GENERAL (optionnel)</t>
  </si>
  <si>
    <t>Évaluation:</t>
  </si>
  <si>
    <t>EVAL_V3 - PHP &amp; Base de données</t>
  </si>
  <si>
    <t>Date limite:</t>
  </si>
  <si>
    <t>30 avril 2026 23h55</t>
  </si>
  <si>
    <t>Nom et prénom de l'étudiant:</t>
  </si>
  <si>
    <t>Matricule:</t>
  </si>
  <si>
    <t>Url du projet (Panoramix):</t>
  </si>
  <si>
    <t>Section 1 : Les Pré-requis</t>
  </si>
  <si>
    <t>Règle : Si UN SEUL critère n'est pas respecté, l'évaluation s'arrête. La note finale est de 0/20.</t>
  </si>
  <si>
    <t>Critère de Recevabilité</t>
  </si>
  <si>
    <t>Justification / Commentaire</t>
  </si>
  <si>
    <t>Validé</t>
  </si>
  <si>
    <t>Justification PROF</t>
  </si>
  <si>
    <t>Le projet a été déposé dans les délais impartis et sans modification ultérieure.</t>
  </si>
  <si>
    <t>Cette auto-évaluation est déposée sur le Learn dans les délais.</t>
  </si>
  <si>
    <t>Le projet contient des fichiers PHP. Il ne doit plus contenir de fichiers .html.</t>
  </si>
  <si>
    <t>Le script SQL de création de la base de données (fichier .sql) est présent à la racine du projet et fonctionnel.</t>
  </si>
  <si>
    <t>La structure des dossiers et fichiers du projet respecte l'architecture globale vue au cours (Model, View, vendor, etc). Les pages doivent se trouver à la racine du projet, les parties de page (header, footer, card,...) doivent se trouver dans "View"</t>
  </si>
  <si>
    <t>La base de données contient des données de démonstration : au moins 3 artistes, 1 organisateur, 5 prestations par artiste, des scènes définies, et des prestations programmées.</t>
  </si>
  <si>
    <t>Toutes les données dynamiques proviennent de la base de données (artistes, prestations, etc).</t>
  </si>
  <si>
    <t>L'auto-évaluation a été complétée avec sérieux (pas plus de 3 inexactitudes majeures).</t>
  </si>
  <si>
    <t>RÉSULTAT PRÉ-REQUIS :</t>
  </si>
  <si>
    <t>Section 2 : La Conformité (AA2 Elaborer une architecture de site internet)</t>
  </si>
  <si>
    <t>Un seuil de complétion de 75% est requis. Sous ce seuil, le projet est considéré incomplet (7/20). Si critère non validé, justification OBLIGATOIRE</t>
  </si>
  <si>
    <t>Cas d'Utilisation (UC)</t>
  </si>
  <si>
    <t>Critère de vérification</t>
  </si>
  <si>
    <t>Justification Étudiant</t>
  </si>
  <si>
    <t>UC-A.4 : Consulter le programme de la journée</t>
  </si>
  <si>
    <t>Affiche une grille horaire avec dans les colonnes les scènes et dans les lignes les créneaux horaires. Pas de ligne complètement vide.</t>
  </si>
  <si>
    <t>Pour chaque créneau programmé, une case affiche le titre de la prestation et le nom de l'artiste.</t>
  </si>
  <si>
    <t>En cliquant sur un créneau, on est redirigé vers la page de détail de la prestation (UC-A.8).</t>
  </si>
  <si>
    <t>Si aucune prestation n'est programmée, la grille est affichée vide avec un message informatif.</t>
  </si>
  <si>
    <t>UC-A.5 : Consulter la liste
des artistes</t>
  </si>
  <si>
    <t>Affiche la galerie de vignettes d'artistes avec photo et nom.</t>
  </si>
  <si>
    <t>Si l'artiste est programmé, la vignette affiche la liste de ses créneaux (heure, scène, titre).</t>
  </si>
  <si>
    <t>La vignette est un lien cliquable qui redirige vers la page de profil de l'artiste (UC-A.6).</t>
  </si>
  <si>
    <t>Le filtre 'Afficher uniquement les artistes programmés' est fonctionnel.</t>
  </si>
  <si>
    <t>UC-A.6 : Afficher le détail
d'un artiste</t>
  </si>
  <si>
    <t>La page de profil affiche les informations complètes de l'artiste (nom, prénom, nom d'artiste, photo, description).</t>
  </si>
  <si>
    <t>La page de profil affiche la liste (sous forme de vignettes) de toutes les prestations de l'artiste (image, titre).</t>
  </si>
  <si>
    <t>Si une prestation est programmée, l'heure et la scène sont affichées sur la vignette.</t>
  </si>
  <si>
    <t>Les prestations sont des liens cliquables vers leur page de détail (UC-A.8).</t>
  </si>
  <si>
    <t>UC-A.7 : Consulter le catalogue
des prestations</t>
  </si>
  <si>
    <t>Chaque vignette de prestation affiche l'image, le titre, le nom de l'artiste.</t>
  </si>
  <si>
    <t>Si la prestation est programmée, la vignette affiche l'heure et la scène.</t>
  </si>
  <si>
    <t>La vignette est un lien cliquable vers la page de détail de la prestation (UC-A.8).</t>
  </si>
  <si>
    <t>Des filtres de recherche sont proposés (mot-clé, catégorie, artiste, prestations programmées uniquement) et sont fonctionnels.</t>
  </si>
  <si>
    <t>Si aucune prestation ne correspond aux critères de recherche, un message informatif est affiché.</t>
  </si>
  <si>
    <t>UC-A.8 : Afficher le détail
d'une prestation</t>
  </si>
  <si>
    <t>La page de détail affiche toutes les informations de la prestation (titre, description, image, catégorie).</t>
  </si>
  <si>
    <t>Si la prestation est programmée, l'heure et la scène sont affichées clairement.</t>
  </si>
  <si>
    <t>UC-A.9 : Contacter
l'organisateur</t>
  </si>
  <si>
    <t>Le formulaire de contact est présent (avec les champs : nom, e-mail, sujet, message).</t>
  </si>
  <si>
    <t>Les champs obligatoires et le format de l'e-mail sont validés côté serveur.</t>
  </si>
  <si>
    <t>UC-B.1 : Éditer son profil
personnel</t>
  </si>
  <si>
    <t>Le formulaire (Nom, Prénom, Nom d'artiste (pour les Artistes),  Description, E-mail, Nouveau mot de passe, Confirmation du nouveau mot de passe) est pré-rempli avec les données actuelles de la base de données (le champ Photo n'est pas requis pour cette évaluation).</t>
  </si>
  <si>
    <t>Les champs sont validés côté serveur avec des messages d'erreur clairs.</t>
  </si>
  <si>
    <t>L'unicité de l'e-mail est vérifiée en cas de modification.</t>
  </si>
  <si>
    <t>Les modifications sont correctement enregistrées en base de données.</t>
  </si>
  <si>
    <t>En cas d'erreur, les données saisies sont conservées dans le formulaire (repopulation).</t>
  </si>
  <si>
    <t>UC-C.1 : Ajouter une prestation
à son catalogue</t>
  </si>
  <si>
    <t>Le formulaire d'ajout (titre, description, catégorie sous forme de liste déroulante) est fonctionnel (le champ Image n'est pas requis pour cette évaluation).</t>
  </si>
  <si>
    <t>La prestation est correctement enregistrée en base de données et associée à l'artiste.</t>
  </si>
  <si>
    <t>UC-C.2 : Modifier une prestation
de son catalogue</t>
  </si>
  <si>
    <t>Le formulaire d'édition  (titre, description, catégorie sous forme de liste déroulante) est pré-rempli avec les données actuelles de la prestation (le champ Image n'est pas requis).</t>
  </si>
  <si>
    <t>Les champs obligatoires sont validés côté serveur.</t>
  </si>
  <si>
    <t>En cas d'erreur, les données modifiées sont conservées dans le formulaire (repopulation).</t>
  </si>
  <si>
    <t>UC-C.3 : Supprimer une prestation
de son catalogue</t>
  </si>
  <si>
    <t>Une confirmation est demandée avant la suppression.</t>
  </si>
  <si>
    <t>La suppression est bloquée si la prestation est déjà programmée, avec un message d'erreur clair et informatif.</t>
  </si>
  <si>
    <t>La prestation est correctement supprimée de la base de données après confirmation.</t>
  </si>
  <si>
    <t>UC-C.4 : Consulter son
tableau de bord</t>
  </si>
  <si>
    <t>Le tableau de bord affiche le résumé du profil de l'artiste (nom d'artiste, photo).</t>
  </si>
  <si>
    <t>La liste des prestations programmées est affichée avec le titre, l'heure et la scène.</t>
  </si>
  <si>
    <t>Des liens d'action sont présents et redirigent l'utilisateur : 'Éditer mon profil' et 'Gérer mon catalogue'.</t>
  </si>
  <si>
    <t>UC-D.2 : Déprogrammer
une prestation</t>
  </si>
  <si>
    <t>La grille du programme est affichée (scènes en colonnes, créneaux en lignes).</t>
  </si>
  <si>
    <t>Un bouton 'Déprogrammer' est visible pour chaque prestation programmée.</t>
  </si>
  <si>
    <t>Une confirmation est demandée avant la déprogrammation.</t>
  </si>
  <si>
    <t>La prestation est correctement retirée de la table Programmation.</t>
  </si>
  <si>
    <t>UC-D.4 : Gérer le profil ou le
catalogue d'un artiste</t>
  </si>
  <si>
    <t>L'organisateur peut accéder à la liste des artistes.</t>
  </si>
  <si>
    <t>Un bouton 'Gérer' est disponible pour chaque artiste et redirige vers une page d'administration dédiée.</t>
  </si>
  <si>
    <t>L'organisateur peut modifier le profil de l'artiste via cette page.</t>
  </si>
  <si>
    <t>L'organisateur peut modifier et supprimer les prestations de l'artiste via cette page.</t>
  </si>
  <si>
    <t>TOTAL
AA2 :</t>
  </si>
  <si>
    <t>Section 3 : La Maîtrise des Compétences</t>
  </si>
  <si>
    <t>Pour valider, au minimum avoir 50% DANS CHAQUE Acquis d'Apprentissage (AA). Un échec à un seul AA plafonne la note finale du projet à 7/20. Justification OBLIGATOIRE !</t>
  </si>
  <si>
    <t>Acquis d'Apprentissage (AA)</t>
  </si>
  <si>
    <t>Critère d'Évaluation</t>
  </si>
  <si>
    <r>
      <rPr>
        <b/>
        <sz val="11"/>
        <color rgb="FF000000"/>
        <rFont val="Calibri"/>
      </rPr>
      <t xml:space="preserve">Justification Étudiant
</t>
    </r>
    <r>
      <rPr>
        <b/>
        <sz val="11"/>
        <color rgb="FFFF0000"/>
        <rFont val="Calibri"/>
      </rPr>
      <t>(Obligatoire)</t>
    </r>
  </si>
  <si>
    <t>Note</t>
  </si>
  <si>
    <t>AA3 : Qualité de l'Expérience Interactive</t>
  </si>
  <si>
    <t>Validation des formulaires côté serveur avec messages d'erreur clairs et spécifiques.</t>
  </si>
  <si>
    <t>Repopulation des champs du formulaire en cas d'erreur (les données saisies sont conservées et ré-affichées).</t>
  </si>
  <si>
    <t>Identification visuelle des champs en erreur (classe CSS dédiée, message à proximité immédiate du champ).</t>
  </si>
  <si>
    <t>TOTAL
AA3 :</t>
  </si>
  <si>
    <t>AA4 : Opérations CRUD (Create, Read, Update, Delete)</t>
  </si>
  <si>
    <t>Les modèles de données (Artistes, Prestations, Programmation) sont correctement créés et représentés en base de données.</t>
  </si>
  <si>
    <t>Utilisation correcte de PDO avec requêtes préparées pour toutes les opérations de base de données.</t>
  </si>
  <si>
    <t>Les opérations CRUD sont fonctionnelles et bien structurées dans le code PHP.</t>
  </si>
  <si>
    <t>Les relations entre entités sont correctement gérées (clés étrangères, jointures).</t>
  </si>
  <si>
    <t>Gestion des erreurs de base de données (échecs de requêtes, contraintes d'intégrité).</t>
  </si>
  <si>
    <t>TOTAL
AA4 :</t>
  </si>
  <si>
    <t>AA6 : Conception Conforme aux Standards</t>
  </si>
  <si>
    <t>Le projet va au-delà de la séparation minimale des préoccupations : code logiquement organisé, fonctions utilitaires réutilisables.</t>
  </si>
  <si>
    <t>Architecture du projet bien pensée et cohérente, au-delà de la structure minimale requise.</t>
  </si>
  <si>
    <t>Protection complète contre les attaques XSS (échappement systématique des sorties HTML).</t>
  </si>
  <si>
    <t>Gestion propre des erreurs PHP (pas de warnings non gérés).</t>
  </si>
  <si>
    <t>Code maintenable et lisible (pas de duplication, noms de variables/fonctions explicites, conventions respectées).</t>
  </si>
  <si>
    <t>TOTAL AA6 :</t>
  </si>
  <si>
    <t>Synthèse &amp; Note Finale</t>
  </si>
  <si>
    <t>Note Section 2 (Conformité) AA2</t>
  </si>
  <si>
    <t>Note Section 3 AA3</t>
  </si>
  <si>
    <t>Note Section 3 AA4</t>
  </si>
  <si>
    <t>Note Section 3 AA6</t>
  </si>
  <si>
    <t>NOTE FINALE ETUDIANT</t>
  </si>
  <si>
    <t>NOTE FINALE PROF</t>
  </si>
  <si>
    <t>Imbergano Matteo</t>
  </si>
  <si>
    <t>q250035</t>
  </si>
  <si>
    <t>Si il manque une information le formulaire le signal et une fois valider un message de succes apparait.</t>
  </si>
  <si>
    <t>oui les formulaires garde les informations correcte</t>
  </si>
  <si>
    <t>oui il y a le message de base</t>
  </si>
  <si>
    <t>Les données proviennent toutes de la base de donnée</t>
  </si>
  <si>
    <t xml:space="preserve">je pense avoir bien fait cela </t>
  </si>
  <si>
    <t>elles sont fonctionnelles et j'espere assez structurées</t>
  </si>
  <si>
    <t>il y a une petit gestion des erreurs je ne sais pas si c'est suffisant</t>
  </si>
  <si>
    <t>j'aurais pu faire mieux je pense mais j'espere que mon code est assez bien organiser sinon j'arrangerais cela pour l'eval_v4</t>
  </si>
  <si>
    <t>Je n'ai pas bien compris comment organiser les fichier j'ai fais pour le mieux et je pense que ca devrait être correcte</t>
  </si>
  <si>
    <t xml:space="preserve">je pense que oui </t>
  </si>
  <si>
    <t xml:space="preserve">le code peut etre gere et maintenue correctement </t>
  </si>
  <si>
    <t>normalement il ne devrait pas y en avoir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</si>
</sst>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/1&quot;"/>
    <numFmt numFmtId="165" formatCode="0.0&quot;/20&quot;"/>
    <numFmt numFmtId="166" formatCode="_-* #,##0.00&quot; €&quot;_-;\-* #,##0.00&quot; €&quot;_-;_-* \-??&quot; €&quot;_-;_-@_-"/>
    <numFmt numFmtId="167" formatCode="0.0&quot;/10&quot;"/>
    <numFmt numFmtId="168" formatCode="&quot;/&quot;0"/>
  </numFmts>
  <fonts count="17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6"/>
      <color rgb="FFFFFFFF"/>
      <name val="Calibri"/>
      <family val="2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i/>
      <sz val="10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sz val="9"/>
      <color theme="1"/>
      <name val="Calibri"/>
      <family val="2"/>
      <charset val="1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i/>
      <sz val="14"/>
      <color rgb="FFFF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4F81BD"/>
        <bgColor rgb="FF808080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CE6F2"/>
      </patternFill>
    </fill>
    <fill>
      <patternFill patternType="solid">
        <fgColor rgb="FFFFFFFF"/>
        <bgColor rgb="FFF2F2F2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3" fillId="6" borderId="0">
      <alignment horizontal="center" vertical="center"/>
    </xf>
    <xf numFmtId="0" fontId="4" fillId="0" borderId="0"/>
    <xf numFmtId="0" fontId="6" fillId="0" borderId="0" applyBorder="0" applyProtection="0"/>
    <xf numFmtId="0" fontId="7" fillId="7" borderId="1">
      <alignment vertical="center" wrapText="1"/>
    </xf>
    <xf numFmtId="0" fontId="5" fillId="8" borderId="1">
      <alignment vertical="center"/>
    </xf>
    <xf numFmtId="0" fontId="8" fillId="0" borderId="1">
      <alignment vertical="top" wrapText="1"/>
    </xf>
    <xf numFmtId="0" fontId="5" fillId="0" borderId="1">
      <alignment horizontal="center"/>
    </xf>
    <xf numFmtId="0" fontId="5" fillId="0" borderId="1">
      <alignment vertical="top"/>
    </xf>
    <xf numFmtId="166" fontId="4" fillId="0" borderId="0" applyBorder="0" applyProtection="0"/>
    <xf numFmtId="0" fontId="8" fillId="0" borderId="1">
      <alignment horizontal="center" vertical="top"/>
    </xf>
  </cellStyleXfs>
  <cellXfs count="75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9" fillId="9" borderId="1" xfId="2" applyNumberFormat="1" applyFont="1" applyFill="1" applyBorder="1" applyAlignment="1">
      <alignment horizontal="center" vertical="center" wrapText="1" indent="1"/>
    </xf>
    <xf numFmtId="165" fontId="5" fillId="0" borderId="1" xfId="7" applyNumberFormat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8" fontId="9" fillId="9" borderId="5" xfId="2" applyNumberFormat="1" applyFont="1" applyFill="1" applyBorder="1" applyAlignment="1">
      <alignment horizontal="left" vertical="center" wrapText="1"/>
    </xf>
    <xf numFmtId="0" fontId="9" fillId="9" borderId="9" xfId="2" applyFont="1" applyFill="1" applyBorder="1" applyAlignment="1">
      <alignment horizontal="right" vertical="center" wrapText="1"/>
    </xf>
    <xf numFmtId="0" fontId="9" fillId="10" borderId="9" xfId="2" applyFont="1" applyFill="1" applyBorder="1" applyAlignment="1" applyProtection="1">
      <alignment horizontal="right" vertical="center" wrapText="1"/>
      <protection locked="0"/>
    </xf>
    <xf numFmtId="0" fontId="10" fillId="11" borderId="1" xfId="2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1" borderId="1" xfId="0" applyFill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top" wrapText="1"/>
    </xf>
    <xf numFmtId="0" fontId="11" fillId="11" borderId="9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1" borderId="5" xfId="0" applyFont="1" applyFill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165" fontId="2" fillId="0" borderId="9" xfId="0" applyNumberFormat="1" applyFont="1" applyBorder="1" applyAlignment="1">
      <alignment horizontal="left" vertical="top" wrapText="1"/>
    </xf>
    <xf numFmtId="165" fontId="2" fillId="0" borderId="5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3" fillId="0" borderId="1" xfId="0" applyFont="1" applyBorder="1" applyAlignment="1">
      <alignment horizontal="center" vertical="center" wrapText="1"/>
    </xf>
    <xf numFmtId="0" fontId="16" fillId="11" borderId="1" xfId="0" applyFont="1" applyFill="1" applyBorder="1" applyAlignment="1" applyProtection="1">
      <alignment horizontal="center" vertical="center" wrapText="1"/>
      <protection locked="0"/>
    </xf>
    <xf numFmtId="0" fontId="16" fillId="11" borderId="4" xfId="0" applyFont="1" applyFill="1" applyBorder="1" applyAlignment="1" applyProtection="1">
      <alignment horizontal="center" vertical="center"/>
      <protection locked="0"/>
    </xf>
    <xf numFmtId="167" fontId="2" fillId="0" borderId="1" xfId="0" applyNumberFormat="1" applyFont="1" applyBorder="1" applyAlignment="1">
      <alignment horizontal="left" vertical="top" wrapText="1"/>
    </xf>
    <xf numFmtId="0" fontId="11" fillId="0" borderId="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0" xfId="0" applyFont="1" applyBorder="1" applyAlignment="1">
      <alignment horizontal="center" vertical="top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 applyAlignment="1">
      <alignment wrapText="1"/>
    </xf>
    <xf numFmtId="167" fontId="2" fillId="0" borderId="18" xfId="0" applyNumberFormat="1" applyFont="1" applyBorder="1" applyAlignment="1">
      <alignment horizontal="left" vertical="top" wrapText="1"/>
    </xf>
    <xf numFmtId="165" fontId="2" fillId="0" borderId="18" xfId="0" applyNumberFormat="1" applyFont="1" applyBorder="1" applyAlignment="1">
      <alignment horizontal="left" vertical="top" wrapText="1"/>
    </xf>
    <xf numFmtId="165" fontId="2" fillId="5" borderId="18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1" fillId="3" borderId="8" xfId="0" applyFont="1" applyFill="1" applyBorder="1" applyAlignment="1">
      <alignment horizontal="center" vertical="center" wrapText="1"/>
    </xf>
  </cellXfs>
  <cellStyles count="11">
    <cellStyle name="category_style" xfId="8" xr:uid="{3B68AE8D-294F-444C-BC9B-24308CB929C1}"/>
    <cellStyle name="header_style" xfId="5" xr:uid="{4B417B63-EEA9-48DE-8CD4-FDD1E0D7B392}"/>
    <cellStyle name="item_style" xfId="6" xr:uid="{481B2792-239B-4148-BE5E-8E162DEDDA17}"/>
    <cellStyle name="Lien hypertexte 2" xfId="3" xr:uid="{7DA10D73-E967-4947-B346-69CBBC57B410}"/>
    <cellStyle name="Monétaire 2" xfId="9" xr:uid="{69C8F060-F27F-47CC-9AB7-A8EE958008DB}"/>
    <cellStyle name="Normal" xfId="0" builtinId="0"/>
    <cellStyle name="Normal 2" xfId="2" xr:uid="{7E25F7D5-E712-48B8-BE2E-E23835A66F32}"/>
    <cellStyle name="points_style" xfId="10" xr:uid="{9F6BA32E-9EA1-4BE0-9F36-6C6478E02AF0}"/>
    <cellStyle name="rule_style" xfId="4" xr:uid="{7C38B826-BADA-4C4C-87A4-C9762958BE2C}"/>
    <cellStyle name="title_style" xfId="1" xr:uid="{86CBD8CB-C3AE-48C0-9985-F937924280FC}"/>
    <cellStyle name="total_value" xfId="7" xr:uid="{18BE3AE6-3546-49B3-AF5A-67D03BF525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66" workbookViewId="0">
      <selection activeCell="D30" sqref="D30"/>
    </sheetView>
  </sheetViews>
  <sheetFormatPr baseColWidth="10" defaultColWidth="9.140625" defaultRowHeight="15" x14ac:dyDescent="0.25"/>
  <cols>
    <col min="1" max="1" width="32.140625" customWidth="1"/>
    <col min="2" max="2" width="73.85546875" customWidth="1"/>
    <col min="3" max="3" width="42" customWidth="1"/>
    <col min="4" max="4" width="8" customWidth="1"/>
    <col min="5" max="5" width="13.28515625" customWidth="1"/>
    <col min="6" max="6" width="34.42578125" customWidth="1"/>
    <col min="7" max="7" width="8" customWidth="1"/>
    <col min="8" max="8" width="12.42578125" customWidth="1"/>
  </cols>
  <sheetData>
    <row r="1" spans="1:8" x14ac:dyDescent="0.25">
      <c r="A1" s="68" t="s">
        <v>0</v>
      </c>
      <c r="B1" s="29"/>
      <c r="C1" s="29"/>
      <c r="D1" s="29"/>
      <c r="E1" s="30"/>
      <c r="F1" s="74" t="s">
        <v>1</v>
      </c>
      <c r="G1" s="70"/>
      <c r="H1" s="71"/>
    </row>
    <row r="2" spans="1:8" ht="20.100000000000001" customHeight="1" x14ac:dyDescent="0.25">
      <c r="A2" s="17" t="s">
        <v>2</v>
      </c>
      <c r="B2" s="33" t="s">
        <v>3</v>
      </c>
      <c r="C2" s="34"/>
      <c r="D2" s="34"/>
      <c r="E2" s="34"/>
      <c r="F2" s="46" t="s">
        <v>4</v>
      </c>
      <c r="G2" s="47"/>
      <c r="H2" s="48"/>
    </row>
    <row r="3" spans="1:8" x14ac:dyDescent="0.25">
      <c r="A3" s="17" t="s">
        <v>5</v>
      </c>
      <c r="B3" s="33" t="s">
        <v>6</v>
      </c>
      <c r="C3" s="34"/>
      <c r="D3" s="34"/>
      <c r="E3" s="34"/>
      <c r="F3" s="49"/>
      <c r="G3" s="50"/>
      <c r="H3" s="51"/>
    </row>
    <row r="4" spans="1:8" x14ac:dyDescent="0.25">
      <c r="A4" s="17" t="s">
        <v>7</v>
      </c>
      <c r="B4" s="33" t="s">
        <v>8</v>
      </c>
      <c r="C4" s="34"/>
      <c r="D4" s="34"/>
      <c r="E4" s="34"/>
      <c r="F4" s="49"/>
      <c r="G4" s="50"/>
      <c r="H4" s="51"/>
    </row>
    <row r="5" spans="1:8" ht="20.25" customHeight="1" x14ac:dyDescent="0.25">
      <c r="A5" s="17" t="s">
        <v>9</v>
      </c>
      <c r="B5" s="41" t="s">
        <v>123</v>
      </c>
      <c r="C5" s="42"/>
      <c r="D5" s="42"/>
      <c r="E5" s="42"/>
      <c r="F5" s="49"/>
      <c r="G5" s="50"/>
      <c r="H5" s="51"/>
    </row>
    <row r="6" spans="1:8" ht="20.25" customHeight="1" x14ac:dyDescent="0.25">
      <c r="A6" s="17" t="s">
        <v>10</v>
      </c>
      <c r="B6" s="41" t="s">
        <v>124</v>
      </c>
      <c r="C6" s="42"/>
      <c r="D6" s="42"/>
      <c r="E6" s="42"/>
      <c r="F6" s="49"/>
      <c r="G6" s="50"/>
      <c r="H6" s="51"/>
    </row>
    <row r="7" spans="1:8" ht="24.75" customHeight="1" x14ac:dyDescent="0.25">
      <c r="A7" s="17" t="s">
        <v>11</v>
      </c>
      <c r="B7" s="59" t="str">
        <f>"https://panoramix.cg.helmo.be/~"&amp;LOWER(B6)&amp;"/EVAL_V3/"</f>
        <v>https://panoramix.cg.helmo.be/~q250035/EVAL_V3/</v>
      </c>
      <c r="C7" s="60"/>
      <c r="D7" s="60"/>
      <c r="E7" s="60"/>
      <c r="F7" s="52"/>
      <c r="G7" s="53"/>
      <c r="H7" s="54"/>
    </row>
    <row r="9" spans="1:8" x14ac:dyDescent="0.25">
      <c r="A9" s="28" t="s">
        <v>12</v>
      </c>
      <c r="B9" s="29"/>
      <c r="C9" s="29"/>
      <c r="D9" s="29"/>
      <c r="E9" s="29"/>
      <c r="F9" s="29"/>
      <c r="G9" s="29"/>
      <c r="H9" s="30"/>
    </row>
    <row r="10" spans="1:8" x14ac:dyDescent="0.25">
      <c r="A10" s="40" t="s">
        <v>13</v>
      </c>
      <c r="B10" s="29"/>
      <c r="C10" s="29"/>
      <c r="D10" s="29"/>
      <c r="E10" s="29"/>
      <c r="F10" s="29"/>
      <c r="G10" s="29"/>
      <c r="H10" s="30"/>
    </row>
    <row r="11" spans="1:8" ht="14.25" customHeight="1" x14ac:dyDescent="0.25">
      <c r="A11" s="35" t="s">
        <v>14</v>
      </c>
      <c r="B11" s="36"/>
      <c r="C11" s="3" t="s">
        <v>15</v>
      </c>
      <c r="D11" s="35" t="s">
        <v>16</v>
      </c>
      <c r="E11" s="36"/>
      <c r="F11" s="3" t="s">
        <v>17</v>
      </c>
      <c r="G11" s="35" t="s">
        <v>16</v>
      </c>
      <c r="H11" s="36"/>
    </row>
    <row r="12" spans="1:8" x14ac:dyDescent="0.25">
      <c r="A12" s="37" t="s">
        <v>18</v>
      </c>
      <c r="B12" s="55"/>
      <c r="C12" s="15"/>
      <c r="D12" s="23" t="b">
        <v>1</v>
      </c>
      <c r="E12" s="24"/>
      <c r="F12" s="1"/>
      <c r="G12" s="44" t="b">
        <v>0</v>
      </c>
      <c r="H12" s="45"/>
    </row>
    <row r="13" spans="1:8" x14ac:dyDescent="0.25">
      <c r="A13" s="37" t="s">
        <v>19</v>
      </c>
      <c r="B13" s="55"/>
      <c r="C13" s="15"/>
      <c r="D13" s="23" t="b">
        <v>1</v>
      </c>
      <c r="E13" s="24"/>
      <c r="F13" s="1"/>
      <c r="G13" s="44" t="b">
        <v>0</v>
      </c>
      <c r="H13" s="45"/>
    </row>
    <row r="14" spans="1:8" x14ac:dyDescent="0.25">
      <c r="A14" s="37" t="s">
        <v>20</v>
      </c>
      <c r="B14" s="55"/>
      <c r="C14" s="15"/>
      <c r="D14" s="23" t="b">
        <v>1</v>
      </c>
      <c r="E14" s="24"/>
      <c r="F14" s="1"/>
      <c r="G14" s="44" t="b">
        <v>0</v>
      </c>
      <c r="H14" s="45"/>
    </row>
    <row r="15" spans="1:8" x14ac:dyDescent="0.25">
      <c r="A15" s="37" t="s">
        <v>21</v>
      </c>
      <c r="B15" s="55"/>
      <c r="C15" s="15"/>
      <c r="D15" s="23" t="b">
        <v>1</v>
      </c>
      <c r="E15" s="24"/>
      <c r="F15" s="1"/>
      <c r="G15" s="44" t="b">
        <v>0</v>
      </c>
      <c r="H15" s="45"/>
    </row>
    <row r="16" spans="1:8" ht="50.25" customHeight="1" x14ac:dyDescent="0.25">
      <c r="A16" s="37" t="s">
        <v>22</v>
      </c>
      <c r="B16" s="55"/>
      <c r="C16" s="15"/>
      <c r="D16" s="23" t="b">
        <v>1</v>
      </c>
      <c r="E16" s="24"/>
      <c r="F16" s="1"/>
      <c r="G16" s="44" t="b">
        <v>0</v>
      </c>
      <c r="H16" s="45"/>
    </row>
    <row r="17" spans="1:8" ht="34.5" customHeight="1" x14ac:dyDescent="0.25">
      <c r="A17" s="37" t="s">
        <v>23</v>
      </c>
      <c r="B17" s="55"/>
      <c r="C17" s="15"/>
      <c r="D17" s="23" t="b">
        <v>1</v>
      </c>
      <c r="E17" s="24"/>
      <c r="F17" s="1"/>
      <c r="G17" s="44" t="b">
        <v>0</v>
      </c>
      <c r="H17" s="45"/>
    </row>
    <row r="18" spans="1:8" x14ac:dyDescent="0.25">
      <c r="A18" s="37" t="s">
        <v>24</v>
      </c>
      <c r="B18" s="55"/>
      <c r="C18" s="15"/>
      <c r="D18" s="23" t="b">
        <v>1</v>
      </c>
      <c r="E18" s="24"/>
      <c r="F18" s="1"/>
      <c r="G18" s="44" t="b">
        <v>0</v>
      </c>
      <c r="H18" s="45"/>
    </row>
    <row r="19" spans="1:8" x14ac:dyDescent="0.25">
      <c r="A19" s="37" t="s">
        <v>25</v>
      </c>
      <c r="B19" s="55"/>
      <c r="C19" s="15"/>
      <c r="D19" s="23" t="b">
        <v>1</v>
      </c>
      <c r="E19" s="24"/>
      <c r="F19" s="1"/>
      <c r="G19" s="44" t="b">
        <v>0</v>
      </c>
      <c r="H19" s="45"/>
    </row>
    <row r="20" spans="1:8" ht="15" customHeight="1" x14ac:dyDescent="0.25">
      <c r="A20" s="25" t="s">
        <v>26</v>
      </c>
      <c r="B20" s="27"/>
      <c r="C20" s="9" t="s">
        <v>26</v>
      </c>
      <c r="D20" s="66" t="str">
        <f>IF(NOT(COUNTIF(D12:E19, TRUE())=ROWS(D12:E19)), "NON RECEVABLE", "RECEVABLE")</f>
        <v>RECEVABLE</v>
      </c>
      <c r="E20" s="67"/>
      <c r="F20" s="9" t="s">
        <v>26</v>
      </c>
      <c r="G20" s="66" t="str">
        <f>IF(NOT(COUNTIF(G12:H19, TRUE())=ROWS(G12:H19)), "NON RECEVABLE", "RECEVABLE")</f>
        <v>NON RECEVABLE</v>
      </c>
      <c r="H20" s="67"/>
    </row>
    <row r="22" spans="1:8" x14ac:dyDescent="0.25">
      <c r="A22" s="28" t="s">
        <v>27</v>
      </c>
      <c r="B22" s="29"/>
      <c r="C22" s="29"/>
      <c r="D22" s="29"/>
      <c r="E22" s="29"/>
      <c r="F22" s="29"/>
      <c r="G22" s="29"/>
      <c r="H22" s="30"/>
    </row>
    <row r="23" spans="1:8" x14ac:dyDescent="0.25">
      <c r="A23" s="40" t="s">
        <v>28</v>
      </c>
      <c r="B23" s="29"/>
      <c r="C23" s="29"/>
      <c r="D23" s="29"/>
      <c r="E23" s="29"/>
      <c r="F23" s="29"/>
      <c r="G23" s="29"/>
      <c r="H23" s="30"/>
    </row>
    <row r="24" spans="1:8" x14ac:dyDescent="0.25">
      <c r="A24" s="3" t="s">
        <v>29</v>
      </c>
      <c r="B24" s="3" t="s">
        <v>30</v>
      </c>
      <c r="C24" s="3" t="s">
        <v>31</v>
      </c>
      <c r="D24" s="35" t="s">
        <v>16</v>
      </c>
      <c r="E24" s="36"/>
      <c r="F24" s="3" t="s">
        <v>17</v>
      </c>
      <c r="G24" s="35" t="s">
        <v>16</v>
      </c>
      <c r="H24" s="36"/>
    </row>
    <row r="25" spans="1:8" ht="30" x14ac:dyDescent="0.25">
      <c r="A25" s="72" t="s">
        <v>32</v>
      </c>
      <c r="B25" s="16" t="s">
        <v>33</v>
      </c>
      <c r="C25" s="15"/>
      <c r="D25" s="14" t="b">
        <v>1</v>
      </c>
      <c r="E25" s="6">
        <f>IF(D25=TRUE(), 1, 0)</f>
        <v>1</v>
      </c>
      <c r="F25" s="1"/>
      <c r="G25" s="8" t="b">
        <v>0</v>
      </c>
      <c r="H25" s="6">
        <f>IF(G25=TRUE(), 1, 0)</f>
        <v>0</v>
      </c>
    </row>
    <row r="26" spans="1:8" ht="30" x14ac:dyDescent="0.25">
      <c r="A26" s="72"/>
      <c r="B26" s="16" t="s">
        <v>34</v>
      </c>
      <c r="C26" s="15"/>
      <c r="D26" s="14" t="b">
        <v>1</v>
      </c>
      <c r="E26" s="6">
        <f t="shared" ref="E26:E72" si="0">IF(D26=TRUE(), 1, 0)</f>
        <v>1</v>
      </c>
      <c r="F26" s="1"/>
      <c r="G26" s="8" t="b">
        <v>0</v>
      </c>
      <c r="H26" s="6">
        <f t="shared" ref="H26:H72" si="1">IF(G26=TRUE(), 1, 0)</f>
        <v>0</v>
      </c>
    </row>
    <row r="27" spans="1:8" ht="30" x14ac:dyDescent="0.25">
      <c r="A27" s="72"/>
      <c r="B27" s="16" t="s">
        <v>35</v>
      </c>
      <c r="C27" s="15"/>
      <c r="D27" s="14" t="b">
        <v>1</v>
      </c>
      <c r="E27" s="6">
        <f t="shared" si="0"/>
        <v>1</v>
      </c>
      <c r="F27" s="1"/>
      <c r="G27" s="8" t="b">
        <v>0</v>
      </c>
      <c r="H27" s="6">
        <f t="shared" si="1"/>
        <v>0</v>
      </c>
    </row>
    <row r="28" spans="1:8" ht="30" x14ac:dyDescent="0.25">
      <c r="A28" s="73"/>
      <c r="B28" s="16" t="s">
        <v>36</v>
      </c>
      <c r="C28" s="15"/>
      <c r="D28" s="14" t="b">
        <v>1</v>
      </c>
      <c r="E28" s="6">
        <f t="shared" si="0"/>
        <v>1</v>
      </c>
      <c r="F28" s="1"/>
      <c r="G28" s="8" t="b">
        <v>0</v>
      </c>
      <c r="H28" s="6">
        <f t="shared" si="1"/>
        <v>0</v>
      </c>
    </row>
    <row r="29" spans="1:8" x14ac:dyDescent="0.25">
      <c r="A29" s="37" t="s">
        <v>37</v>
      </c>
      <c r="B29" s="16" t="s">
        <v>38</v>
      </c>
      <c r="C29" s="15"/>
      <c r="D29" s="14" t="b">
        <v>1</v>
      </c>
      <c r="E29" s="6">
        <f t="shared" si="0"/>
        <v>1</v>
      </c>
      <c r="F29" s="1"/>
      <c r="G29" s="8" t="b">
        <v>0</v>
      </c>
      <c r="H29" s="6">
        <f t="shared" si="1"/>
        <v>0</v>
      </c>
    </row>
    <row r="30" spans="1:8" ht="30" x14ac:dyDescent="0.25">
      <c r="A30" s="38"/>
      <c r="B30" s="16" t="s">
        <v>39</v>
      </c>
      <c r="C30" s="15"/>
      <c r="D30" s="14" t="b">
        <v>1</v>
      </c>
      <c r="E30" s="6">
        <f t="shared" si="0"/>
        <v>1</v>
      </c>
      <c r="F30" s="1"/>
      <c r="G30" s="8" t="b">
        <v>0</v>
      </c>
      <c r="H30" s="6">
        <f t="shared" si="1"/>
        <v>0</v>
      </c>
    </row>
    <row r="31" spans="1:8" ht="30" x14ac:dyDescent="0.25">
      <c r="A31" s="38"/>
      <c r="B31" s="16" t="s">
        <v>40</v>
      </c>
      <c r="C31" s="15"/>
      <c r="D31" s="14" t="b">
        <v>1</v>
      </c>
      <c r="E31" s="6">
        <f t="shared" si="0"/>
        <v>1</v>
      </c>
      <c r="F31" s="1"/>
      <c r="G31" s="8" t="b">
        <v>0</v>
      </c>
      <c r="H31" s="6">
        <f t="shared" si="1"/>
        <v>0</v>
      </c>
    </row>
    <row r="32" spans="1:8" x14ac:dyDescent="0.25">
      <c r="A32" s="38"/>
      <c r="B32" s="16" t="s">
        <v>41</v>
      </c>
      <c r="C32" s="15"/>
      <c r="D32" s="14" t="b">
        <v>1</v>
      </c>
      <c r="E32" s="6">
        <f t="shared" si="0"/>
        <v>1</v>
      </c>
      <c r="F32" s="1"/>
      <c r="G32" s="8" t="b">
        <v>0</v>
      </c>
      <c r="H32" s="6">
        <f t="shared" si="1"/>
        <v>0</v>
      </c>
    </row>
    <row r="33" spans="1:8" ht="30" x14ac:dyDescent="0.25">
      <c r="A33" s="37" t="s">
        <v>42</v>
      </c>
      <c r="B33" s="16" t="s">
        <v>43</v>
      </c>
      <c r="C33" s="15"/>
      <c r="D33" s="14" t="b">
        <v>1</v>
      </c>
      <c r="E33" s="6">
        <f t="shared" si="0"/>
        <v>1</v>
      </c>
      <c r="F33" s="1"/>
      <c r="G33" s="8" t="b">
        <v>0</v>
      </c>
      <c r="H33" s="6">
        <f t="shared" si="1"/>
        <v>0</v>
      </c>
    </row>
    <row r="34" spans="1:8" ht="30" x14ac:dyDescent="0.25">
      <c r="A34" s="38"/>
      <c r="B34" s="16" t="s">
        <v>44</v>
      </c>
      <c r="C34" s="15"/>
      <c r="D34" s="14" t="b">
        <v>1</v>
      </c>
      <c r="E34" s="6">
        <f t="shared" si="0"/>
        <v>1</v>
      </c>
      <c r="F34" s="1"/>
      <c r="G34" s="8" t="b">
        <v>0</v>
      </c>
      <c r="H34" s="6">
        <f t="shared" si="1"/>
        <v>0</v>
      </c>
    </row>
    <row r="35" spans="1:8" ht="32.25" customHeight="1" x14ac:dyDescent="0.25">
      <c r="A35" s="38"/>
      <c r="B35" s="16" t="s">
        <v>45</v>
      </c>
      <c r="C35" s="15"/>
      <c r="D35" s="14" t="b">
        <v>1</v>
      </c>
      <c r="E35" s="6">
        <f t="shared" si="0"/>
        <v>1</v>
      </c>
      <c r="F35" s="1"/>
      <c r="G35" s="8" t="b">
        <v>0</v>
      </c>
      <c r="H35" s="6">
        <f t="shared" si="1"/>
        <v>0</v>
      </c>
    </row>
    <row r="36" spans="1:8" x14ac:dyDescent="0.25">
      <c r="A36" s="38"/>
      <c r="B36" s="16" t="s">
        <v>46</v>
      </c>
      <c r="C36" s="15"/>
      <c r="D36" s="14" t="b">
        <v>1</v>
      </c>
      <c r="E36" s="6">
        <f t="shared" si="0"/>
        <v>1</v>
      </c>
      <c r="F36" s="1"/>
      <c r="G36" s="8" t="b">
        <v>0</v>
      </c>
      <c r="H36" s="6">
        <f t="shared" si="1"/>
        <v>0</v>
      </c>
    </row>
    <row r="37" spans="1:8" x14ac:dyDescent="0.25">
      <c r="A37" s="37" t="s">
        <v>47</v>
      </c>
      <c r="B37" s="16" t="s">
        <v>48</v>
      </c>
      <c r="C37" s="15"/>
      <c r="D37" s="14" t="b">
        <v>1</v>
      </c>
      <c r="E37" s="6">
        <f t="shared" si="0"/>
        <v>1</v>
      </c>
      <c r="F37" s="1"/>
      <c r="G37" s="8" t="b">
        <v>0</v>
      </c>
      <c r="H37" s="6">
        <f t="shared" si="1"/>
        <v>0</v>
      </c>
    </row>
    <row r="38" spans="1:8" x14ac:dyDescent="0.25">
      <c r="A38" s="38"/>
      <c r="B38" s="16" t="s">
        <v>49</v>
      </c>
      <c r="C38" s="15"/>
      <c r="D38" s="14" t="b">
        <v>1</v>
      </c>
      <c r="E38" s="6">
        <f t="shared" si="0"/>
        <v>1</v>
      </c>
      <c r="F38" s="1"/>
      <c r="G38" s="8" t="b">
        <v>0</v>
      </c>
      <c r="H38" s="6">
        <f t="shared" si="1"/>
        <v>0</v>
      </c>
    </row>
    <row r="39" spans="1:8" x14ac:dyDescent="0.25">
      <c r="A39" s="38"/>
      <c r="B39" s="16" t="s">
        <v>50</v>
      </c>
      <c r="C39" s="15"/>
      <c r="D39" s="14" t="b">
        <v>1</v>
      </c>
      <c r="E39" s="6">
        <f t="shared" si="0"/>
        <v>1</v>
      </c>
      <c r="F39" s="1"/>
      <c r="G39" s="8" t="b">
        <v>0</v>
      </c>
      <c r="H39" s="6">
        <f t="shared" si="1"/>
        <v>0</v>
      </c>
    </row>
    <row r="40" spans="1:8" ht="30" x14ac:dyDescent="0.25">
      <c r="A40" s="38"/>
      <c r="B40" s="16" t="s">
        <v>51</v>
      </c>
      <c r="C40" s="15"/>
      <c r="D40" s="14" t="b">
        <v>1</v>
      </c>
      <c r="E40" s="6">
        <f t="shared" si="0"/>
        <v>1</v>
      </c>
      <c r="F40" s="1"/>
      <c r="G40" s="8" t="b">
        <v>0</v>
      </c>
      <c r="H40" s="6">
        <f t="shared" si="1"/>
        <v>0</v>
      </c>
    </row>
    <row r="41" spans="1:8" ht="30" x14ac:dyDescent="0.25">
      <c r="A41" s="39"/>
      <c r="B41" s="16" t="s">
        <v>52</v>
      </c>
      <c r="C41" s="15"/>
      <c r="D41" s="14" t="b">
        <v>1</v>
      </c>
      <c r="E41" s="6">
        <f t="shared" si="0"/>
        <v>1</v>
      </c>
      <c r="F41" s="1"/>
      <c r="G41" s="8" t="b">
        <v>0</v>
      </c>
      <c r="H41" s="6">
        <f t="shared" si="1"/>
        <v>0</v>
      </c>
    </row>
    <row r="42" spans="1:8" ht="30" x14ac:dyDescent="0.25">
      <c r="A42" s="37" t="s">
        <v>53</v>
      </c>
      <c r="B42" s="16" t="s">
        <v>54</v>
      </c>
      <c r="C42" s="15"/>
      <c r="D42" s="14" t="b">
        <v>1</v>
      </c>
      <c r="E42" s="6">
        <f t="shared" si="0"/>
        <v>1</v>
      </c>
      <c r="F42" s="1"/>
      <c r="G42" s="8" t="b">
        <v>0</v>
      </c>
      <c r="H42" s="6">
        <f t="shared" si="1"/>
        <v>0</v>
      </c>
    </row>
    <row r="43" spans="1:8" x14ac:dyDescent="0.25">
      <c r="A43" s="38"/>
      <c r="B43" s="16" t="s">
        <v>55</v>
      </c>
      <c r="C43" s="15"/>
      <c r="D43" s="14" t="b">
        <v>1</v>
      </c>
      <c r="E43" s="6">
        <f t="shared" si="0"/>
        <v>1</v>
      </c>
      <c r="F43" s="1"/>
      <c r="G43" s="8" t="b">
        <v>0</v>
      </c>
      <c r="H43" s="6">
        <f t="shared" si="1"/>
        <v>0</v>
      </c>
    </row>
    <row r="44" spans="1:8" ht="30" x14ac:dyDescent="0.25">
      <c r="A44" s="37" t="s">
        <v>56</v>
      </c>
      <c r="B44" s="16" t="s">
        <v>57</v>
      </c>
      <c r="C44" s="15"/>
      <c r="D44" s="14" t="b">
        <v>1</v>
      </c>
      <c r="E44" s="6">
        <f t="shared" si="0"/>
        <v>1</v>
      </c>
      <c r="F44" s="1"/>
      <c r="G44" s="8" t="b">
        <v>0</v>
      </c>
      <c r="H44" s="6">
        <f t="shared" si="1"/>
        <v>0</v>
      </c>
    </row>
    <row r="45" spans="1:8" x14ac:dyDescent="0.25">
      <c r="A45" s="38"/>
      <c r="B45" s="16" t="s">
        <v>58</v>
      </c>
      <c r="C45" s="15"/>
      <c r="D45" s="14" t="b">
        <v>1</v>
      </c>
      <c r="E45" s="6">
        <f t="shared" si="0"/>
        <v>1</v>
      </c>
      <c r="F45" s="1"/>
      <c r="G45" s="8" t="b">
        <v>0</v>
      </c>
      <c r="H45" s="6">
        <f t="shared" si="1"/>
        <v>0</v>
      </c>
    </row>
    <row r="46" spans="1:8" ht="60" x14ac:dyDescent="0.25">
      <c r="A46" s="63" t="s">
        <v>59</v>
      </c>
      <c r="B46" s="16" t="s">
        <v>60</v>
      </c>
      <c r="C46" s="15"/>
      <c r="D46" s="14" t="b">
        <v>1</v>
      </c>
      <c r="E46" s="6">
        <f t="shared" si="0"/>
        <v>1</v>
      </c>
      <c r="F46" s="1"/>
      <c r="G46" s="8" t="b">
        <v>0</v>
      </c>
      <c r="H46" s="6">
        <f t="shared" si="1"/>
        <v>0</v>
      </c>
    </row>
    <row r="47" spans="1:8" x14ac:dyDescent="0.25">
      <c r="A47" s="64"/>
      <c r="B47" s="16" t="s">
        <v>61</v>
      </c>
      <c r="C47" s="15"/>
      <c r="D47" s="14" t="b">
        <v>1</v>
      </c>
      <c r="E47" s="6">
        <f t="shared" si="0"/>
        <v>1</v>
      </c>
      <c r="F47" s="1"/>
      <c r="G47" s="8" t="b">
        <v>0</v>
      </c>
      <c r="H47" s="6">
        <f t="shared" si="1"/>
        <v>0</v>
      </c>
    </row>
    <row r="48" spans="1:8" x14ac:dyDescent="0.25">
      <c r="A48" s="64"/>
      <c r="B48" s="16" t="s">
        <v>62</v>
      </c>
      <c r="C48" s="15"/>
      <c r="D48" s="14" t="b">
        <v>1</v>
      </c>
      <c r="E48" s="6">
        <f t="shared" si="0"/>
        <v>1</v>
      </c>
      <c r="F48" s="1"/>
      <c r="G48" s="8" t="b">
        <v>0</v>
      </c>
      <c r="H48" s="6">
        <f t="shared" si="1"/>
        <v>0</v>
      </c>
    </row>
    <row r="49" spans="1:8" x14ac:dyDescent="0.25">
      <c r="A49" s="64"/>
      <c r="B49" s="16" t="s">
        <v>63</v>
      </c>
      <c r="C49" s="15"/>
      <c r="D49" s="14" t="b">
        <v>1</v>
      </c>
      <c r="E49" s="6">
        <f t="shared" si="0"/>
        <v>1</v>
      </c>
      <c r="F49" s="1"/>
      <c r="G49" s="8" t="b">
        <v>0</v>
      </c>
      <c r="H49" s="6">
        <f t="shared" si="1"/>
        <v>0</v>
      </c>
    </row>
    <row r="50" spans="1:8" ht="30" x14ac:dyDescent="0.25">
      <c r="A50" s="65"/>
      <c r="B50" s="16" t="s">
        <v>64</v>
      </c>
      <c r="C50" s="15"/>
      <c r="D50" s="14" t="b">
        <v>1</v>
      </c>
      <c r="E50" s="6">
        <f t="shared" si="0"/>
        <v>1</v>
      </c>
      <c r="F50" s="1"/>
      <c r="G50" s="8" t="b">
        <v>0</v>
      </c>
      <c r="H50" s="6">
        <f t="shared" si="1"/>
        <v>0</v>
      </c>
    </row>
    <row r="51" spans="1:8" ht="48.75" customHeight="1" x14ac:dyDescent="0.25">
      <c r="A51" s="37" t="s">
        <v>65</v>
      </c>
      <c r="B51" s="16" t="s">
        <v>66</v>
      </c>
      <c r="C51" s="15"/>
      <c r="D51" s="14" t="b">
        <v>1</v>
      </c>
      <c r="E51" s="6">
        <f t="shared" si="0"/>
        <v>1</v>
      </c>
      <c r="F51" s="1"/>
      <c r="G51" s="8" t="b">
        <v>0</v>
      </c>
      <c r="H51" s="6">
        <f t="shared" si="1"/>
        <v>0</v>
      </c>
    </row>
    <row r="52" spans="1:8" x14ac:dyDescent="0.25">
      <c r="A52" s="38"/>
      <c r="B52" s="16" t="s">
        <v>61</v>
      </c>
      <c r="C52" s="15"/>
      <c r="D52" s="14" t="b">
        <v>1</v>
      </c>
      <c r="E52" s="6">
        <f t="shared" si="0"/>
        <v>1</v>
      </c>
      <c r="F52" s="1"/>
      <c r="G52" s="8" t="b">
        <v>0</v>
      </c>
      <c r="H52" s="6">
        <f t="shared" si="1"/>
        <v>0</v>
      </c>
    </row>
    <row r="53" spans="1:8" ht="30" x14ac:dyDescent="0.25">
      <c r="A53" s="38"/>
      <c r="B53" s="16" t="s">
        <v>67</v>
      </c>
      <c r="C53" s="15"/>
      <c r="D53" s="14" t="b">
        <v>1</v>
      </c>
      <c r="E53" s="6">
        <f t="shared" si="0"/>
        <v>1</v>
      </c>
      <c r="F53" s="1"/>
      <c r="G53" s="8" t="b">
        <v>0</v>
      </c>
      <c r="H53" s="6">
        <f t="shared" si="1"/>
        <v>0</v>
      </c>
    </row>
    <row r="54" spans="1:8" ht="30" x14ac:dyDescent="0.25">
      <c r="A54" s="39"/>
      <c r="B54" s="16" t="s">
        <v>64</v>
      </c>
      <c r="C54" s="15"/>
      <c r="D54" s="14" t="b">
        <v>1</v>
      </c>
      <c r="E54" s="6">
        <f t="shared" si="0"/>
        <v>1</v>
      </c>
      <c r="F54" s="1"/>
      <c r="G54" s="8" t="b">
        <v>0</v>
      </c>
      <c r="H54" s="6">
        <f t="shared" si="1"/>
        <v>0</v>
      </c>
    </row>
    <row r="55" spans="1:8" ht="45" x14ac:dyDescent="0.25">
      <c r="A55" s="37" t="s">
        <v>68</v>
      </c>
      <c r="B55" s="16" t="s">
        <v>69</v>
      </c>
      <c r="C55" s="15"/>
      <c r="D55" s="14" t="b">
        <v>1</v>
      </c>
      <c r="E55" s="6">
        <f t="shared" si="0"/>
        <v>1</v>
      </c>
      <c r="F55" s="1"/>
      <c r="G55" s="8" t="b">
        <v>0</v>
      </c>
      <c r="H55" s="6">
        <f t="shared" si="1"/>
        <v>0</v>
      </c>
    </row>
    <row r="56" spans="1:8" x14ac:dyDescent="0.25">
      <c r="A56" s="38"/>
      <c r="B56" s="16" t="s">
        <v>70</v>
      </c>
      <c r="C56" s="15"/>
      <c r="D56" s="14" t="b">
        <v>1</v>
      </c>
      <c r="E56" s="6">
        <f t="shared" si="0"/>
        <v>1</v>
      </c>
      <c r="F56" s="1"/>
      <c r="G56" s="8" t="b">
        <v>0</v>
      </c>
      <c r="H56" s="6">
        <f t="shared" si="1"/>
        <v>0</v>
      </c>
    </row>
    <row r="57" spans="1:8" x14ac:dyDescent="0.25">
      <c r="A57" s="38"/>
      <c r="B57" s="16" t="s">
        <v>63</v>
      </c>
      <c r="C57" s="15"/>
      <c r="D57" s="14" t="b">
        <v>1</v>
      </c>
      <c r="E57" s="6">
        <f t="shared" si="0"/>
        <v>1</v>
      </c>
      <c r="F57" s="1"/>
      <c r="G57" s="8" t="b">
        <v>0</v>
      </c>
      <c r="H57" s="6">
        <f t="shared" si="1"/>
        <v>0</v>
      </c>
    </row>
    <row r="58" spans="1:8" ht="30" x14ac:dyDescent="0.25">
      <c r="A58" s="39"/>
      <c r="B58" s="16" t="s">
        <v>71</v>
      </c>
      <c r="C58" s="15"/>
      <c r="D58" s="14" t="b">
        <v>1</v>
      </c>
      <c r="E58" s="6">
        <f t="shared" si="0"/>
        <v>1</v>
      </c>
      <c r="F58" s="1"/>
      <c r="G58" s="8" t="b">
        <v>0</v>
      </c>
      <c r="H58" s="6">
        <f t="shared" si="1"/>
        <v>0</v>
      </c>
    </row>
    <row r="59" spans="1:8" x14ac:dyDescent="0.25">
      <c r="A59" s="37" t="s">
        <v>72</v>
      </c>
      <c r="B59" s="16" t="s">
        <v>73</v>
      </c>
      <c r="C59" s="15"/>
      <c r="D59" s="14" t="b">
        <v>1</v>
      </c>
      <c r="E59" s="6">
        <f t="shared" si="0"/>
        <v>1</v>
      </c>
      <c r="F59" s="1"/>
      <c r="G59" s="8" t="b">
        <v>0</v>
      </c>
      <c r="H59" s="6">
        <f t="shared" si="1"/>
        <v>0</v>
      </c>
    </row>
    <row r="60" spans="1:8" ht="30" x14ac:dyDescent="0.25">
      <c r="A60" s="38"/>
      <c r="B60" s="16" t="s">
        <v>74</v>
      </c>
      <c r="C60" s="15"/>
      <c r="D60" s="14" t="b">
        <v>1</v>
      </c>
      <c r="E60" s="6">
        <f t="shared" si="0"/>
        <v>1</v>
      </c>
      <c r="F60" s="1"/>
      <c r="G60" s="8" t="b">
        <v>0</v>
      </c>
      <c r="H60" s="6">
        <f t="shared" si="1"/>
        <v>0</v>
      </c>
    </row>
    <row r="61" spans="1:8" ht="30" x14ac:dyDescent="0.25">
      <c r="A61" s="39"/>
      <c r="B61" s="16" t="s">
        <v>75</v>
      </c>
      <c r="C61" s="15"/>
      <c r="D61" s="14" t="b">
        <v>1</v>
      </c>
      <c r="E61" s="6">
        <f t="shared" si="0"/>
        <v>1</v>
      </c>
      <c r="F61" s="1"/>
      <c r="G61" s="8" t="b">
        <v>0</v>
      </c>
      <c r="H61" s="6">
        <f t="shared" si="1"/>
        <v>0</v>
      </c>
    </row>
    <row r="62" spans="1:8" ht="32.25" customHeight="1" x14ac:dyDescent="0.25">
      <c r="A62" s="37" t="s">
        <v>76</v>
      </c>
      <c r="B62" s="16" t="s">
        <v>77</v>
      </c>
      <c r="C62" s="15"/>
      <c r="D62" s="14" t="b">
        <v>1</v>
      </c>
      <c r="E62" s="6">
        <f t="shared" si="0"/>
        <v>1</v>
      </c>
      <c r="F62" s="1"/>
      <c r="G62" s="8" t="b">
        <v>0</v>
      </c>
      <c r="H62" s="6">
        <f t="shared" si="1"/>
        <v>0</v>
      </c>
    </row>
    <row r="63" spans="1:8" ht="33" customHeight="1" x14ac:dyDescent="0.25">
      <c r="A63" s="38"/>
      <c r="B63" s="16" t="s">
        <v>78</v>
      </c>
      <c r="C63" s="15"/>
      <c r="D63" s="14" t="b">
        <v>1</v>
      </c>
      <c r="E63" s="6">
        <f t="shared" si="0"/>
        <v>1</v>
      </c>
      <c r="F63" s="1"/>
      <c r="G63" s="8" t="b">
        <v>0</v>
      </c>
      <c r="H63" s="6">
        <f t="shared" si="1"/>
        <v>0</v>
      </c>
    </row>
    <row r="64" spans="1:8" ht="30" x14ac:dyDescent="0.25">
      <c r="A64" s="38"/>
      <c r="B64" s="16" t="s">
        <v>79</v>
      </c>
      <c r="C64" s="15"/>
      <c r="D64" s="14" t="b">
        <v>1</v>
      </c>
      <c r="E64" s="6">
        <f t="shared" si="0"/>
        <v>1</v>
      </c>
      <c r="F64" s="1"/>
      <c r="G64" s="8" t="b">
        <v>0</v>
      </c>
      <c r="H64" s="6">
        <f t="shared" si="1"/>
        <v>0</v>
      </c>
    </row>
    <row r="65" spans="1:8" ht="30.75" customHeight="1" x14ac:dyDescent="0.25">
      <c r="A65" s="37" t="s">
        <v>80</v>
      </c>
      <c r="B65" s="16" t="s">
        <v>81</v>
      </c>
      <c r="C65" s="15"/>
      <c r="D65" s="14" t="b">
        <v>1</v>
      </c>
      <c r="E65" s="6">
        <f t="shared" si="0"/>
        <v>1</v>
      </c>
      <c r="F65" s="1"/>
      <c r="G65" s="8" t="b">
        <v>0</v>
      </c>
      <c r="H65" s="6">
        <f t="shared" si="1"/>
        <v>0</v>
      </c>
    </row>
    <row r="66" spans="1:8" ht="15.75" customHeight="1" x14ac:dyDescent="0.25">
      <c r="A66" s="38"/>
      <c r="B66" s="16" t="s">
        <v>82</v>
      </c>
      <c r="C66" s="15"/>
      <c r="D66" s="14" t="b">
        <v>1</v>
      </c>
      <c r="E66" s="6">
        <f t="shared" si="0"/>
        <v>1</v>
      </c>
      <c r="F66" s="1"/>
      <c r="G66" s="8" t="b">
        <v>0</v>
      </c>
      <c r="H66" s="6">
        <f t="shared" si="1"/>
        <v>0</v>
      </c>
    </row>
    <row r="67" spans="1:8" x14ac:dyDescent="0.25">
      <c r="A67" s="38"/>
      <c r="B67" s="16" t="s">
        <v>83</v>
      </c>
      <c r="C67" s="15"/>
      <c r="D67" s="14" t="b">
        <v>1</v>
      </c>
      <c r="E67" s="6">
        <f t="shared" si="0"/>
        <v>1</v>
      </c>
      <c r="F67" s="1"/>
      <c r="G67" s="8" t="b">
        <v>0</v>
      </c>
      <c r="H67" s="6">
        <f t="shared" si="1"/>
        <v>0</v>
      </c>
    </row>
    <row r="68" spans="1:8" x14ac:dyDescent="0.25">
      <c r="A68" s="39"/>
      <c r="B68" s="16" t="s">
        <v>84</v>
      </c>
      <c r="C68" s="15"/>
      <c r="D68" s="14" t="b">
        <v>1</v>
      </c>
      <c r="E68" s="6">
        <f t="shared" si="0"/>
        <v>1</v>
      </c>
      <c r="F68" s="1"/>
      <c r="G68" s="8" t="b">
        <v>0</v>
      </c>
      <c r="H68" s="6">
        <f t="shared" si="1"/>
        <v>0</v>
      </c>
    </row>
    <row r="69" spans="1:8" x14ac:dyDescent="0.25">
      <c r="A69" s="37" t="s">
        <v>85</v>
      </c>
      <c r="B69" s="16" t="s">
        <v>86</v>
      </c>
      <c r="C69" s="15"/>
      <c r="D69" s="14" t="b">
        <v>1</v>
      </c>
      <c r="E69" s="6">
        <f t="shared" si="0"/>
        <v>1</v>
      </c>
      <c r="F69" s="1"/>
      <c r="G69" s="8" t="b">
        <v>0</v>
      </c>
      <c r="H69" s="6">
        <f t="shared" si="1"/>
        <v>0</v>
      </c>
    </row>
    <row r="70" spans="1:8" ht="30" x14ac:dyDescent="0.25">
      <c r="A70" s="38"/>
      <c r="B70" s="16" t="s">
        <v>87</v>
      </c>
      <c r="C70" s="15"/>
      <c r="D70" s="14" t="b">
        <v>1</v>
      </c>
      <c r="E70" s="6">
        <f t="shared" si="0"/>
        <v>1</v>
      </c>
      <c r="F70" s="1"/>
      <c r="G70" s="8" t="b">
        <v>0</v>
      </c>
      <c r="H70" s="6">
        <f t="shared" si="1"/>
        <v>0</v>
      </c>
    </row>
    <row r="71" spans="1:8" x14ac:dyDescent="0.25">
      <c r="A71" s="38"/>
      <c r="B71" s="16" t="s">
        <v>88</v>
      </c>
      <c r="C71" s="15"/>
      <c r="D71" s="14" t="b">
        <v>1</v>
      </c>
      <c r="E71" s="6">
        <f t="shared" si="0"/>
        <v>1</v>
      </c>
      <c r="F71" s="1"/>
      <c r="G71" s="8" t="b">
        <v>0</v>
      </c>
      <c r="H71" s="6">
        <f t="shared" si="1"/>
        <v>0</v>
      </c>
    </row>
    <row r="72" spans="1:8" ht="33.75" customHeight="1" x14ac:dyDescent="0.25">
      <c r="A72" s="39"/>
      <c r="B72" s="16" t="s">
        <v>89</v>
      </c>
      <c r="C72" s="15"/>
      <c r="D72" s="14" t="b">
        <v>1</v>
      </c>
      <c r="E72" s="6">
        <f t="shared" si="0"/>
        <v>1</v>
      </c>
      <c r="F72" s="1"/>
      <c r="G72" s="8" t="b">
        <v>0</v>
      </c>
      <c r="H72" s="6">
        <f t="shared" si="1"/>
        <v>0</v>
      </c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ht="30" x14ac:dyDescent="0.25">
      <c r="A74" s="5"/>
      <c r="B74" s="5"/>
      <c r="C74" s="5"/>
      <c r="D74" s="21" t="s">
        <v>90</v>
      </c>
      <c r="E74" s="7">
        <f>IF(SUM(E25:E72)&lt;((48/4)*3), 0, 10 + (SUM(E25:E72)-((48/4)*3)) * (10/(48-((48/4)*3))))</f>
        <v>20</v>
      </c>
      <c r="F74" s="5"/>
      <c r="G74" s="21" t="s">
        <v>90</v>
      </c>
      <c r="H74" s="7">
        <f>IF(SUM(H25:H72)&lt;((48/4)*3), 0, 10 + (SUM(H25:H72)-((48/4)*3)) * (10/(48-((48/4)*3))))</f>
        <v>0</v>
      </c>
    </row>
    <row r="76" spans="1:8" x14ac:dyDescent="0.25">
      <c r="A76" s="28" t="s">
        <v>91</v>
      </c>
      <c r="B76" s="29"/>
      <c r="C76" s="29"/>
      <c r="D76" s="29"/>
      <c r="E76" s="29"/>
      <c r="F76" s="29"/>
      <c r="G76" s="29"/>
      <c r="H76" s="30"/>
    </row>
    <row r="77" spans="1:8" x14ac:dyDescent="0.25">
      <c r="A77" s="40" t="s">
        <v>92</v>
      </c>
      <c r="B77" s="29"/>
      <c r="C77" s="29"/>
      <c r="D77" s="29"/>
      <c r="E77" s="29"/>
      <c r="F77" s="29"/>
      <c r="G77" s="29"/>
      <c r="H77" s="30"/>
    </row>
    <row r="78" spans="1:8" ht="30" x14ac:dyDescent="0.25">
      <c r="A78" s="3" t="s">
        <v>93</v>
      </c>
      <c r="B78" s="3" t="s">
        <v>94</v>
      </c>
      <c r="C78" s="3" t="s">
        <v>95</v>
      </c>
      <c r="D78" s="35" t="s">
        <v>96</v>
      </c>
      <c r="E78" s="36"/>
      <c r="F78" s="3" t="s">
        <v>17</v>
      </c>
      <c r="G78" s="35" t="s">
        <v>96</v>
      </c>
      <c r="H78" s="36"/>
    </row>
    <row r="79" spans="1:8" ht="34.5" customHeight="1" x14ac:dyDescent="0.25">
      <c r="A79" s="37" t="s">
        <v>97</v>
      </c>
      <c r="B79" s="16" t="s">
        <v>98</v>
      </c>
      <c r="C79" s="15" t="s">
        <v>125</v>
      </c>
      <c r="D79" s="13">
        <v>2</v>
      </c>
      <c r="E79" s="11">
        <v>3</v>
      </c>
      <c r="F79" s="10"/>
      <c r="G79" s="12">
        <v>0</v>
      </c>
      <c r="H79" s="11">
        <f>E79</f>
        <v>3</v>
      </c>
    </row>
    <row r="80" spans="1:8" ht="30" x14ac:dyDescent="0.25">
      <c r="A80" s="38"/>
      <c r="B80" s="16" t="s">
        <v>99</v>
      </c>
      <c r="C80" s="15" t="s">
        <v>126</v>
      </c>
      <c r="D80" s="13">
        <v>2</v>
      </c>
      <c r="E80" s="11">
        <v>2</v>
      </c>
      <c r="F80" s="10"/>
      <c r="G80" s="12">
        <v>0</v>
      </c>
      <c r="H80" s="11">
        <f t="shared" ref="H80:H81" si="2">E80</f>
        <v>2</v>
      </c>
    </row>
    <row r="81" spans="1:8" ht="30" x14ac:dyDescent="0.25">
      <c r="A81" s="38"/>
      <c r="B81" s="16" t="s">
        <v>100</v>
      </c>
      <c r="C81" s="15" t="s">
        <v>127</v>
      </c>
      <c r="D81" s="13">
        <v>1</v>
      </c>
      <c r="E81" s="11">
        <v>2</v>
      </c>
      <c r="F81" s="10"/>
      <c r="G81" s="12">
        <v>0</v>
      </c>
      <c r="H81" s="11">
        <f t="shared" si="2"/>
        <v>2</v>
      </c>
    </row>
    <row r="82" spans="1:8" ht="30" x14ac:dyDescent="0.25">
      <c r="A82" s="5"/>
      <c r="B82" s="20"/>
      <c r="C82" s="5"/>
      <c r="D82" s="2" t="s">
        <v>101</v>
      </c>
      <c r="E82" s="18">
        <f>(MIN(D79,E79)+MIN(D80,E80)+MIN(D81,E81))/(E79+E80+E81)*10</f>
        <v>7.1428571428571432</v>
      </c>
      <c r="F82" s="5"/>
      <c r="G82" s="2" t="s">
        <v>101</v>
      </c>
      <c r="H82" s="18">
        <f>(MIN(G79,H79)+MIN(G80,H80)+MIN(G81,H81))/(H79+H80+H81)*10</f>
        <v>0</v>
      </c>
    </row>
    <row r="83" spans="1:8" x14ac:dyDescent="0.25">
      <c r="A83" s="1"/>
      <c r="B83" s="16"/>
      <c r="C83" s="1"/>
      <c r="D83" s="4"/>
      <c r="E83" s="4"/>
      <c r="F83" s="1"/>
      <c r="G83" s="4"/>
      <c r="H83" s="4"/>
    </row>
    <row r="84" spans="1:8" ht="30" x14ac:dyDescent="0.25">
      <c r="A84" s="37" t="s">
        <v>102</v>
      </c>
      <c r="B84" s="16" t="s">
        <v>103</v>
      </c>
      <c r="C84" s="15" t="s">
        <v>128</v>
      </c>
      <c r="D84" s="13">
        <v>3</v>
      </c>
      <c r="E84" s="11">
        <v>4</v>
      </c>
      <c r="F84" s="1"/>
      <c r="G84" s="12">
        <v>0</v>
      </c>
      <c r="H84" s="11">
        <v>4</v>
      </c>
    </row>
    <row r="85" spans="1:8" ht="30" x14ac:dyDescent="0.25">
      <c r="A85" s="38"/>
      <c r="B85" s="16" t="s">
        <v>104</v>
      </c>
      <c r="C85" s="15" t="s">
        <v>129</v>
      </c>
      <c r="D85" s="13">
        <v>2</v>
      </c>
      <c r="E85" s="11">
        <v>4</v>
      </c>
      <c r="F85" s="1"/>
      <c r="G85" s="12">
        <v>0</v>
      </c>
      <c r="H85" s="11">
        <v>4</v>
      </c>
    </row>
    <row r="86" spans="1:8" ht="30" x14ac:dyDescent="0.25">
      <c r="A86" s="38"/>
      <c r="B86" s="16" t="s">
        <v>105</v>
      </c>
      <c r="C86" s="15" t="s">
        <v>130</v>
      </c>
      <c r="D86" s="13">
        <v>3</v>
      </c>
      <c r="E86" s="11">
        <v>4</v>
      </c>
      <c r="F86" s="1"/>
      <c r="G86" s="12">
        <v>0</v>
      </c>
      <c r="H86" s="11">
        <v>4</v>
      </c>
    </row>
    <row r="87" spans="1:8" ht="30" x14ac:dyDescent="0.25">
      <c r="A87" s="38"/>
      <c r="B87" s="16" t="s">
        <v>106</v>
      </c>
      <c r="C87" s="15" t="s">
        <v>129</v>
      </c>
      <c r="D87" s="13">
        <v>2</v>
      </c>
      <c r="E87" s="11">
        <v>3</v>
      </c>
      <c r="F87" s="1"/>
      <c r="G87" s="12">
        <v>0</v>
      </c>
      <c r="H87" s="11">
        <v>3</v>
      </c>
    </row>
    <row r="88" spans="1:8" ht="30" x14ac:dyDescent="0.25">
      <c r="A88" s="38"/>
      <c r="B88" s="16" t="s">
        <v>107</v>
      </c>
      <c r="C88" s="15" t="s">
        <v>131</v>
      </c>
      <c r="D88" s="13">
        <v>1</v>
      </c>
      <c r="E88" s="11">
        <v>3</v>
      </c>
      <c r="F88" s="1"/>
      <c r="G88" s="12">
        <v>0</v>
      </c>
      <c r="H88" s="11">
        <v>3</v>
      </c>
    </row>
    <row r="89" spans="1:8" ht="30" x14ac:dyDescent="0.25">
      <c r="A89" s="5"/>
      <c r="B89" s="20"/>
      <c r="C89" s="5"/>
      <c r="D89" s="2" t="s">
        <v>108</v>
      </c>
      <c r="E89" s="19">
        <f>(MIN(D84,E84)+MIN(D85,E85)+MIN(D86,E86)+MIN(D87,E87)+MIN(D88,E88))/SUM(E84:E88)*20</f>
        <v>12.222222222222223</v>
      </c>
      <c r="F89" s="5"/>
      <c r="G89" s="2" t="s">
        <v>108</v>
      </c>
      <c r="H89" s="19">
        <f>(MIN(G84,H84)+MIN(G85,H85)+MIN(G86,H86)+MIN(G87,H87)+MIN(G88,H88))/SUM(H84:H88)*20</f>
        <v>0</v>
      </c>
    </row>
    <row r="90" spans="1:8" x14ac:dyDescent="0.25">
      <c r="A90" s="1"/>
      <c r="B90" s="16"/>
      <c r="C90" s="1"/>
      <c r="D90" s="4"/>
      <c r="E90" s="4"/>
      <c r="F90" s="1"/>
      <c r="G90" s="4"/>
      <c r="H90" s="4"/>
    </row>
    <row r="91" spans="1:8" ht="45" x14ac:dyDescent="0.25">
      <c r="A91" s="37" t="s">
        <v>109</v>
      </c>
      <c r="B91" s="16" t="s">
        <v>110</v>
      </c>
      <c r="C91" s="15" t="s">
        <v>132</v>
      </c>
      <c r="D91" s="13">
        <v>2</v>
      </c>
      <c r="E91" s="11">
        <v>4</v>
      </c>
      <c r="F91" s="1"/>
      <c r="G91" s="12">
        <v>0</v>
      </c>
      <c r="H91" s="11">
        <v>4</v>
      </c>
    </row>
    <row r="92" spans="1:8" ht="45" x14ac:dyDescent="0.25">
      <c r="A92" s="38"/>
      <c r="B92" s="16" t="s">
        <v>111</v>
      </c>
      <c r="C92" s="15" t="s">
        <v>133</v>
      </c>
      <c r="D92" s="13">
        <v>2</v>
      </c>
      <c r="E92" s="11">
        <v>4</v>
      </c>
      <c r="F92" s="1"/>
      <c r="G92" s="12">
        <v>0</v>
      </c>
      <c r="H92" s="11">
        <v>4</v>
      </c>
    </row>
    <row r="93" spans="1:8" ht="30" x14ac:dyDescent="0.25">
      <c r="A93" s="38"/>
      <c r="B93" s="16" t="s">
        <v>112</v>
      </c>
      <c r="C93" s="15" t="s">
        <v>134</v>
      </c>
      <c r="D93" s="13">
        <v>2</v>
      </c>
      <c r="E93" s="11">
        <v>4</v>
      </c>
      <c r="F93" s="1"/>
      <c r="G93" s="12">
        <v>0</v>
      </c>
      <c r="H93" s="11">
        <v>4</v>
      </c>
    </row>
    <row r="94" spans="1:8" x14ac:dyDescent="0.25">
      <c r="A94" s="38"/>
      <c r="B94" s="16" t="s">
        <v>113</v>
      </c>
      <c r="C94" s="15" t="s">
        <v>136</v>
      </c>
      <c r="D94" s="13">
        <v>2</v>
      </c>
      <c r="E94" s="11">
        <v>4</v>
      </c>
      <c r="F94" s="1"/>
      <c r="G94" s="12">
        <v>0</v>
      </c>
      <c r="H94" s="11">
        <v>4</v>
      </c>
    </row>
    <row r="95" spans="1:8" ht="30" x14ac:dyDescent="0.25">
      <c r="A95" s="39"/>
      <c r="B95" s="16" t="s">
        <v>114</v>
      </c>
      <c r="C95" s="15" t="s">
        <v>135</v>
      </c>
      <c r="D95" s="13">
        <v>3</v>
      </c>
      <c r="E95" s="11">
        <v>4</v>
      </c>
      <c r="F95" s="1"/>
      <c r="G95" s="12">
        <v>0</v>
      </c>
      <c r="H95" s="11">
        <v>4</v>
      </c>
    </row>
    <row r="96" spans="1:8" ht="30" x14ac:dyDescent="0.25">
      <c r="A96" s="5"/>
      <c r="B96" s="5"/>
      <c r="C96" s="5"/>
      <c r="D96" s="21" t="s">
        <v>115</v>
      </c>
      <c r="E96" s="19">
        <f>(MIN(D91,E91)+MIN(D92,E92)+MIN(D93,E93)+MIN(D94,E94)+MIN(D95,E95))/SUM(E91:E95)*20</f>
        <v>11</v>
      </c>
      <c r="F96" s="5"/>
      <c r="G96" s="21" t="s">
        <v>115</v>
      </c>
      <c r="H96" s="19">
        <f>(MIN(G91,H91)+MIN(G92,H92)+MIN(G93,H93)+MIN(G94,H94)+MIN(G95,H95))/SUM(H91:H95)*20</f>
        <v>0</v>
      </c>
    </row>
    <row r="98" spans="1:8" x14ac:dyDescent="0.25">
      <c r="A98" s="28" t="s">
        <v>116</v>
      </c>
      <c r="B98" s="29"/>
      <c r="C98" s="29"/>
      <c r="D98" s="29"/>
      <c r="E98" s="30"/>
      <c r="F98" s="69"/>
      <c r="G98" s="70"/>
      <c r="H98" s="71"/>
    </row>
    <row r="99" spans="1:8" ht="16.5" customHeight="1" x14ac:dyDescent="0.25">
      <c r="A99" s="25" t="s">
        <v>117</v>
      </c>
      <c r="B99" s="26"/>
      <c r="C99" s="27"/>
      <c r="D99" s="31">
        <f>E74</f>
        <v>20</v>
      </c>
      <c r="E99" s="32"/>
      <c r="F99" s="22" t="s">
        <v>117</v>
      </c>
      <c r="G99" s="57">
        <f>H74</f>
        <v>0</v>
      </c>
      <c r="H99" s="57"/>
    </row>
    <row r="100" spans="1:8" x14ac:dyDescent="0.25">
      <c r="A100" s="25" t="s">
        <v>118</v>
      </c>
      <c r="B100" s="26"/>
      <c r="C100" s="27"/>
      <c r="D100" s="43">
        <f>E82</f>
        <v>7.1428571428571432</v>
      </c>
      <c r="E100" s="27"/>
      <c r="F100" s="22" t="s">
        <v>118</v>
      </c>
      <c r="G100" s="56">
        <f>H82</f>
        <v>0</v>
      </c>
      <c r="H100" s="56"/>
    </row>
    <row r="101" spans="1:8" x14ac:dyDescent="0.25">
      <c r="A101" s="25" t="s">
        <v>119</v>
      </c>
      <c r="B101" s="26"/>
      <c r="C101" s="27"/>
      <c r="D101" s="31">
        <f>E89</f>
        <v>12.222222222222223</v>
      </c>
      <c r="E101" s="32"/>
      <c r="F101" s="22" t="s">
        <v>119</v>
      </c>
      <c r="G101" s="57">
        <f>H89</f>
        <v>0</v>
      </c>
      <c r="H101" s="57"/>
    </row>
    <row r="102" spans="1:8" x14ac:dyDescent="0.25">
      <c r="A102" s="25" t="s">
        <v>120</v>
      </c>
      <c r="B102" s="26"/>
      <c r="C102" s="27"/>
      <c r="D102" s="31">
        <f>E96</f>
        <v>11</v>
      </c>
      <c r="E102" s="32"/>
      <c r="F102" s="22" t="s">
        <v>120</v>
      </c>
      <c r="G102" s="57">
        <f>H96</f>
        <v>0</v>
      </c>
      <c r="H102" s="57"/>
    </row>
    <row r="103" spans="1:8" x14ac:dyDescent="0.25">
      <c r="A103" s="25" t="s">
        <v>121</v>
      </c>
      <c r="B103" s="26"/>
      <c r="C103" s="27"/>
      <c r="D103" s="61">
        <f>IF(D20="NON RECEVABLE", 0, IF(OR(D99&lt;10,D100&lt;5,D101&lt;10,D102&lt;10), 7, ROUND(((D99+D100+D101+D102)/70)*20, 1)))</f>
        <v>14.4</v>
      </c>
      <c r="E103" s="62"/>
      <c r="F103" s="22" t="s">
        <v>122</v>
      </c>
      <c r="G103" s="58">
        <f>IF(G20="NON RECEVABLE", 0, IF(OR(G99&lt;10,G100&lt;5,G101&lt;10,G102&lt;10), 7, ROUND(((G99+G100+G101+G102)/70)*20, 1)))</f>
        <v>0</v>
      </c>
      <c r="H103" s="58"/>
    </row>
  </sheetData>
  <sheetProtection algorithmName="SHA-512" hashValue="rhw1F6rZiv6Omh76/2gERjYZcy7w/Qg09vqck3eav2u03HGTfcpyoTRDTFDPqyVxh+GNtd5ap5HG/IbuoH3eoQ==" saltValue="bQvQudY5MsGoRoDhjYBMhA==" spinCount="100000" sheet="1" objects="1" scenarios="1"/>
  <protectedRanges>
    <protectedRange sqref="B5:E6" name="Range1"/>
    <protectedRange sqref="C12:E19" name="Range2"/>
    <protectedRange sqref="C25:D72" name="Range3"/>
    <protectedRange sqref="C79:D81" name="Range4"/>
    <protectedRange sqref="C84:D88" name="Range5"/>
    <protectedRange sqref="C91:D95" name="Range6"/>
  </protectedRanges>
  <mergeCells count="82">
    <mergeCell ref="A1:E1"/>
    <mergeCell ref="F98:H98"/>
    <mergeCell ref="A102:C102"/>
    <mergeCell ref="A25:A28"/>
    <mergeCell ref="D78:E78"/>
    <mergeCell ref="D12:E12"/>
    <mergeCell ref="G17:H17"/>
    <mergeCell ref="A29:A32"/>
    <mergeCell ref="D101:E101"/>
    <mergeCell ref="F1:H1"/>
    <mergeCell ref="A16:B16"/>
    <mergeCell ref="G11:H11"/>
    <mergeCell ref="B3:E3"/>
    <mergeCell ref="D14:E14"/>
    <mergeCell ref="G15:H15"/>
    <mergeCell ref="A69:A72"/>
    <mergeCell ref="B6:E6"/>
    <mergeCell ref="A62:A64"/>
    <mergeCell ref="G78:H78"/>
    <mergeCell ref="D18:E18"/>
    <mergeCell ref="A23:H23"/>
    <mergeCell ref="A76:H76"/>
    <mergeCell ref="A77:H77"/>
    <mergeCell ref="A14:B14"/>
    <mergeCell ref="A37:A41"/>
    <mergeCell ref="A44:A45"/>
    <mergeCell ref="A12:B12"/>
    <mergeCell ref="A42:A43"/>
    <mergeCell ref="D17:E17"/>
    <mergeCell ref="A18:B18"/>
    <mergeCell ref="G18:H18"/>
    <mergeCell ref="A17:B17"/>
    <mergeCell ref="G24:H24"/>
    <mergeCell ref="D19:E19"/>
    <mergeCell ref="G20:H20"/>
    <mergeCell ref="A84:A88"/>
    <mergeCell ref="G99:H99"/>
    <mergeCell ref="A91:A95"/>
    <mergeCell ref="A22:H22"/>
    <mergeCell ref="A59:A61"/>
    <mergeCell ref="A19:B19"/>
    <mergeCell ref="A51:A54"/>
    <mergeCell ref="D20:E20"/>
    <mergeCell ref="G100:H100"/>
    <mergeCell ref="G101:H101"/>
    <mergeCell ref="G102:H102"/>
    <mergeCell ref="G103:H103"/>
    <mergeCell ref="B4:E4"/>
    <mergeCell ref="B7:E7"/>
    <mergeCell ref="G12:H12"/>
    <mergeCell ref="D16:E16"/>
    <mergeCell ref="A11:B11"/>
    <mergeCell ref="A101:C101"/>
    <mergeCell ref="A20:B20"/>
    <mergeCell ref="G14:H14"/>
    <mergeCell ref="A13:B13"/>
    <mergeCell ref="A33:A36"/>
    <mergeCell ref="D103:E103"/>
    <mergeCell ref="G19:H19"/>
    <mergeCell ref="B2:E2"/>
    <mergeCell ref="A103:C103"/>
    <mergeCell ref="D11:E11"/>
    <mergeCell ref="D24:E24"/>
    <mergeCell ref="A55:A58"/>
    <mergeCell ref="A79:A81"/>
    <mergeCell ref="A9:H9"/>
    <mergeCell ref="D13:E13"/>
    <mergeCell ref="A65:A68"/>
    <mergeCell ref="A10:H10"/>
    <mergeCell ref="B5:E5"/>
    <mergeCell ref="D100:E100"/>
    <mergeCell ref="G16:H16"/>
    <mergeCell ref="F2:H7"/>
    <mergeCell ref="A15:B15"/>
    <mergeCell ref="G13:H13"/>
    <mergeCell ref="D15:E15"/>
    <mergeCell ref="A100:C100"/>
    <mergeCell ref="A98:E98"/>
    <mergeCell ref="A99:C99"/>
    <mergeCell ref="D102:E102"/>
    <mergeCell ref="D99:E99"/>
    <mergeCell ref="A46:A50"/>
  </mergeCells>
  <pageMargins left="0.75" right="0.75" top="1" bottom="1" header="0.5" footer="0.5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A122DF330504E8DDF1118C388620A" ma:contentTypeVersion="17" ma:contentTypeDescription="Crée un document." ma:contentTypeScope="" ma:versionID="b2a5d76adb4ebd4bc28c30ff3149f97c">
  <xsd:schema xmlns:xsd="http://www.w3.org/2001/XMLSchema" xmlns:xs="http://www.w3.org/2001/XMLSchema" xmlns:p="http://schemas.microsoft.com/office/2006/metadata/properties" xmlns:ns2="0a342697-6111-499e-81c9-b1da37191110" xmlns:ns3="f0b5bed9-8d01-41b1-a1e6-aae57005c40e" targetNamespace="http://schemas.microsoft.com/office/2006/metadata/properties" ma:root="true" ma:fieldsID="56317f2523d951174830830d6eac0752" ns2:_="" ns3:_="">
    <xsd:import namespace="0a342697-6111-499e-81c9-b1da37191110"/>
    <xsd:import namespace="f0b5bed9-8d01-41b1-a1e6-aae57005c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r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42697-6111-499e-81c9-b1da37191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re" ma:index="10" nillable="true" ma:displayName="Ordre" ma:decimals="0" ma:internalName="Ordre">
      <xsd:simpleType>
        <xsd:restriction base="dms:Number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b6a2ec7-4460-416d-86cb-abc62d7ad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5bed9-8d01-41b1-a1e6-aae57005c4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233e63-c795-435f-b521-72035c69e17b}" ma:internalName="TaxCatchAll" ma:showField="CatchAllData" ma:web="f0b5bed9-8d01-41b1-a1e6-aae57005c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re xmlns="0a342697-6111-499e-81c9-b1da37191110" xsi:nil="true"/>
    <lcf76f155ced4ddcb4097134ff3c332f xmlns="0a342697-6111-499e-81c9-b1da37191110">
      <Terms xmlns="http://schemas.microsoft.com/office/infopath/2007/PartnerControls"/>
    </lcf76f155ced4ddcb4097134ff3c332f>
    <TaxCatchAll xmlns="f0b5bed9-8d01-41b1-a1e6-aae57005c40e" xsi:nil="true"/>
  </documentManagement>
</p:properties>
</file>

<file path=customXml/itemProps1.xml><?xml version="1.0" encoding="utf-8"?>
<ds:datastoreItem xmlns:ds="http://schemas.openxmlformats.org/officeDocument/2006/customXml" ds:itemID="{737CB8D8-3ECC-44C7-8DBD-FBC05A529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42697-6111-499e-81c9-b1da37191110"/>
    <ds:schemaRef ds:uri="f0b5bed9-8d01-41b1-a1e6-aae57005c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782182-CFEA-4C96-88C2-E302399786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A5E1AE-0117-49CB-985B-CAD573A32338}">
  <ds:schemaRefs>
    <ds:schemaRef ds:uri="http://schemas.microsoft.com/office/2006/metadata/properties"/>
    <ds:schemaRef ds:uri="http://schemas.microsoft.com/office/infopath/2007/PartnerControls"/>
    <ds:schemaRef ds:uri="0a342697-6111-499e-81c9-b1da37191110"/>
    <ds:schemaRef ds:uri="f0b5bed9-8d01-41b1-a1e6-aae57005c4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Grille_EVAL_V3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Mattéo IMBERGANO</cp:lastModifiedBy>
  <cp:revision/>
  <dcterms:created xsi:type="dcterms:W3CDTF">2026-04-02T15:32:51Z</dcterms:created>
  <dcterms:modified xsi:type="dcterms:W3CDTF">2026-04-29T20:26:01Z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0x010100A5CA122DF330504E8DDF1118C388620A</vt:lpwstr>
  </property>
  <property fmtid="{D5CDD505-2E9C-101B-9397-08002B2CF9AE}" pid="3" name="MediaServiceImageTags">
    <vt:lpwstr/>
  </property>
</Properties>
</file>